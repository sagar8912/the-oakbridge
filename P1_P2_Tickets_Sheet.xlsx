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cbcec5e6d64b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1_P2_Tickets" sheetId="1" r:id="R8c61cf14e51b4c1f"/>
    <x:sheet xmlns:r="http://schemas.openxmlformats.org/officeDocument/2006/relationships" name="Summary" sheetId="2" r:id="R9ebe979d03b64f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2">
    <x:dxf>
      <x:font>
        <x:b/>
        <x:color rgb="FF9C0006"/>
      </x:font>
      <x:fill>
        <x:patternFill patternType="solid">
          <x:bgColor rgb="FFF8CBAD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ea7614f2cd442d" /><Relationship Type="http://schemas.openxmlformats.org/officeDocument/2006/relationships/theme" Target="/xl/theme/theme1.xml" Id="R559eb070c8e4413f" /><Relationship Type="http://schemas.openxmlformats.org/officeDocument/2006/relationships/sharedStrings" Target="/xl/sharedStrings.xml" Id="R9f8ed50d9c314684" /><Relationship Type="http://schemas.openxmlformats.org/officeDocument/2006/relationships/worksheet" Target="/xl/worksheets/sheet1.xml" Id="R8c61cf14e51b4c1f" /><Relationship Type="http://schemas.openxmlformats.org/officeDocument/2006/relationships/worksheet" Target="/xl/worksheets/sheet2.xml" Id="R9ebe979d03b64f86" /></Relationships>
</file>

<file path=xl/tables/table1.xml><?xml version="1.0" encoding="utf-8"?>
<x:table xmlns:x="http://schemas.openxmlformats.org/spreadsheetml/2006/main" id="1" name="P1P2TicketsTable" displayName="P1P2TicketsTable" ref="A1:F11" headerRowCount="1">
  <x:tableColumns count="6">
    <x:tableColumn id="1" name="Ticket ID"/>
    <x:tableColumn id="2" name="Ticket Name"/>
    <x:tableColumn id="3" name="Ticket Description"/>
    <x:tableColumn id="4" name="Priority"/>
    <x:tableColumn id="5" name="Status"/>
    <x:tableColumn id="6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TicketSummaryTable" displayName="TicketSummaryTable" ref="A1:B6" headerRowCount="1">
  <x:tableColumns count="2">
    <x:tableColumn id="1" name="Metric"/>
    <x:tableColumn id="2" name="Coun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be25a96f04947e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79700db1489460d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2" hidden="0" customWidth="1"/>
    <x:col min="3" max="3" width="70" hidden="0" customWidth="1"/>
    <x:col min="4" max="4" width="12" hidden="0" customWidth="1"/>
    <x:col min="5" max="5" width="14" hidden="0" customWidth="1"/>
    <x:col min="6" max="6" width="34" hidden="0" customWidth="1"/>
  </x:cols>
  <x:sheetData>
    <x:row r="1">
      <x:c r="A1" s="14" t="str">
        <x:v>Ticket ID</x:v>
      </x:c>
      <x:c r="B1" s="14" t="str">
        <x:v>Ticket Name</x:v>
      </x:c>
      <x:c r="C1" s="14" t="str">
        <x:v>Ticket Description</x:v>
      </x:c>
      <x:c r="D1" s="14" t="str">
        <x:v>Priority</x:v>
      </x:c>
      <x:c r="E1" s="14" t="str">
        <x:v>Status</x:v>
      </x:c>
      <x:c r="F1" s="14" t="str">
        <x:v>Notes</x:v>
      </x:c>
    </x:row>
    <x:row r="2">
      <x:c r="A2" s="15" t="str">
        <x:v>P1-001</x:v>
      </x:c>
      <x:c r="B2" s="15" t="str">
        <x:v>REQUEST: Adding Servicers to SWOT teams</x:v>
      </x:c>
      <x:c r="C2" s="15" t="str">
        <x:v>Need all people from the CLAMS/CLAIMS email group added to Commercial Lines; need all people from the PLServiceAll email group added to Personal Lines.</x:v>
      </x:c>
      <x:c r="D2" s="15" t="str">
        <x:v>P1</x:v>
      </x:c>
      <x:c r="E2" s="15" t="str">
        <x:v>Open</x:v>
      </x:c>
      <x:c r="F2" s="15" t="str">
        <x:v>Current SWOT Add Member priority</x:v>
      </x:c>
    </x:row>
    <x:row r="3">
      <x:c r="A3" s="15" t="str">
        <x:v>P1-002</x:v>
      </x:c>
      <x:c r="B3" s="15" t="str">
        <x:v>FEATURE: Voting</x:v>
      </x:c>
      <x:c r="C3" s="15" t="str">
        <x:v>Allow each team member to vote for any item, not only limited items.</x:v>
      </x:c>
      <x:c r="D3" s="15" t="str">
        <x:v>P1</x:v>
      </x:c>
      <x:c r="E3" s="15" t="str">
        <x:v>Open</x:v>
      </x:c>
      <x:c r="F3" s="15" t="str">
        <x:v>Feature request</x:v>
      </x:c>
    </x:row>
    <x:row r="4">
      <x:c r="A4" s="15" t="str">
        <x:v>P1-003</x:v>
      </x:c>
      <x:c r="B4" s="15" t="str">
        <x:v>Not all Users are seeing public lists in Shared</x:v>
      </x:c>
      <x:c r="C4" s="15" t="str">
        <x:v>Public/shared lists are not visible to all expected users.</x:v>
      </x:c>
      <x:c r="D4" s="15" t="str">
        <x:v>P1</x:v>
      </x:c>
      <x:c r="E4" s="15" t="str">
        <x:v>Open</x:v>
      </x:c>
      <x:c r="F4" s="15" t="str">
        <x:v>Visibility issue</x:v>
      </x:c>
    </x:row>
    <x:row r="5">
      <x:c r="A5" s="15" t="str">
        <x:v>P1-004</x:v>
      </x:c>
      <x:c r="B5" s="15" t="str">
        <x:v>Goals: Team Dropdown showing all teams</x:v>
      </x:c>
      <x:c r="C5" s="15" t="str">
        <x:v>Team dropdown is showing all teams instead of filtering only user-eligible teams.</x:v>
      </x:c>
      <x:c r="D5" s="15" t="str">
        <x:v>P1</x:v>
      </x:c>
      <x:c r="E5" s="15" t="str">
        <x:v>Open</x:v>
      </x:c>
      <x:c r="F5" s="15" t="str">
        <x:v>Filtering / permission issue</x:v>
      </x:c>
    </x:row>
    <x:row r="6">
      <x:c r="A6" s="15" t="str">
        <x:v>P1-005</x:v>
      </x:c>
      <x:c r="B6" s="15" t="str">
        <x:v>FEATURE: Transfer Goal Ownership to Another Team</x:v>
      </x:c>
      <x:c r="C6" s="15" t="str">
        <x:v>Create functionality to relocate/move a misaligned goal to another team.</x:v>
      </x:c>
      <x:c r="D6" s="15" t="str">
        <x:v>P1</x:v>
      </x:c>
      <x:c r="E6" s="15" t="str">
        <x:v>In IDS</x:v>
      </x:c>
      <x:c r="F6" s="15" t="str">
        <x:v>Ownership transfer requirement</x:v>
      </x:c>
    </x:row>
    <x:row r="7">
      <x:c r="A7" s="15" t="str">
        <x:v>P2-001</x:v>
      </x:c>
      <x:c r="B7" s="15" t="str">
        <x:v>FEATURE: Ability to Delete goals</x:v>
      </x:c>
      <x:c r="C7" s="15" t="str">
        <x:v>Need ability to delete/archive goals, but only by the accountable party.</x:v>
      </x:c>
      <x:c r="D7" s="15" t="str">
        <x:v>P2</x:v>
      </x:c>
      <x:c r="E7" s="15" t="str">
        <x:v>Open</x:v>
      </x:c>
      <x:c r="F7" s="15" t="str">
        <x:v>Delete/archive feature</x:v>
      </x:c>
    </x:row>
    <x:row r="8">
      <x:c r="A8" s="15" t="str">
        <x:v>P2-002</x:v>
      </x:c>
      <x:c r="B8" s="15" t="str">
        <x:v>Relating Items to Items - Search Dialogue</x:v>
      </x:c>
      <x:c r="C8" s="15" t="str">
        <x:v>No visual indication showing the selected record in the search dialogue.</x:v>
      </x:c>
      <x:c r="D8" s="15" t="str">
        <x:v>P2</x:v>
      </x:c>
      <x:c r="E8" s="15" t="str">
        <x:v>Open</x:v>
      </x:c>
      <x:c r="F8" s="15" t="str">
        <x:v>UI bug</x:v>
      </x:c>
    </x:row>
    <x:row r="9">
      <x:c r="A9" s="15" t="str">
        <x:v>P2-003</x:v>
      </x:c>
      <x:c r="B9" s="15" t="str">
        <x:v>Search Feature - Returns null when there are known results</x:v>
      </x:c>
      <x:c r="C9" s="15" t="str">
        <x:v>Search returns null even when matching/known results exist.</x:v>
      </x:c>
      <x:c r="D9" s="15" t="str">
        <x:v>P2</x:v>
      </x:c>
      <x:c r="E9" s="15" t="str">
        <x:v>Open</x:v>
      </x:c>
      <x:c r="F9" s="15" t="str">
        <x:v>Search bug</x:v>
      </x:c>
    </x:row>
    <x:row r="10">
      <x:c r="A10" s="15" t="str">
        <x:v>P2-004</x:v>
      </x:c>
      <x:c r="B10" s="15" t="str">
        <x:v>FEATURE: Cascading Message</x:v>
      </x:c>
      <x:c r="C10" s="15" t="str">
        <x:v>Organization should be able to push a weekly cascading message.</x:v>
      </x:c>
      <x:c r="D10" s="15" t="str">
        <x:v>P2</x:v>
      </x:c>
      <x:c r="E10" s="15" t="str">
        <x:v>Open</x:v>
      </x:c>
      <x:c r="F10" s="15" t="str">
        <x:v>Communication feature</x:v>
      </x:c>
    </x:row>
    <x:row r="11">
      <x:c r="A11" s="15" t="str">
        <x:v>P2-005</x:v>
      </x:c>
      <x:c r="B11" s="15" t="str">
        <x:v>FEATURE: Publicly Available form</x:v>
      </x:c>
      <x:c r="C11" s="15" t="str">
        <x:v>Public form/viewer for users who have not had TOW kickoff, such as Oaks Award use case.</x:v>
      </x:c>
      <x:c r="D11" s="15" t="str">
        <x:v>P2</x:v>
      </x:c>
      <x:c r="E11" s="15" t="str">
        <x:v>In IDS</x:v>
      </x:c>
      <x:c r="F11" s="15" t="str">
        <x:v>Opportunity / future feature</x:v>
      </x:c>
    </x:row>
  </x:sheetData>
  <x:conditionalFormatting sqref="D2:D100">
    <x:cfRule type="expression" dxfId="0" priority="1">
      <x:formula>D2="P1"</x:formula>
    </x:cfRule>
    <x:cfRule type="expression" dxfId="1" priority="2">
      <x:formula>D2="P2"</x:formula>
    </x:cfRule>
  </x:conditionalFormatting>
  <x:dataValidations count="2">
    <x:dataValidation type="list" sqref="D2:D100">
      <x:formula1>"P1,P2,P3"</x:formula1>
    </x:dataValidation>
    <x:dataValidation type="list" sqref="E2:E100">
      <x:formula1>"Open,In IDS,Solved,Completed,Converted to Rock,Merged / Archived,Transferred"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be25a96f04947e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</x:cols>
  <x:sheetData>
    <x:row r="1">
      <x:c r="A1" s="4" t="str">
        <x:v>Metric</x:v>
      </x:c>
      <x:c r="B1" s="4" t="str">
        <x:v>Count</x:v>
      </x:c>
    </x:row>
    <x:row r="2">
      <x:c r="A2" t="str">
        <x:v>P1 Tickets</x:v>
      </x:c>
      <x:c r="B2" s="18" t="n">
        <x:f>COUNTIF(P1_P2_Tickets!D:D,"P1")</x:f>
        <x:v>5</x:v>
      </x:c>
    </x:row>
    <x:row r="3">
      <x:c r="A3" t="str">
        <x:v>P2 Tickets</x:v>
      </x:c>
      <x:c r="B3" s="18" t="n">
        <x:f>COUNTIF(P1_P2_Tickets!D:D,"P2")</x:f>
        <x:v>5</x:v>
      </x:c>
    </x:row>
    <x:row r="4">
      <x:c r="A4" t="str">
        <x:v>Open Items</x:v>
      </x:c>
      <x:c r="B4" s="18" t="n">
        <x:f>COUNTIF(P1_P2_Tickets!E:E,"Open")</x:f>
        <x:v>8</x:v>
      </x:c>
    </x:row>
    <x:row r="5">
      <x:c r="A5" t="str">
        <x:v>In IDS Items</x:v>
      </x:c>
      <x:c r="B5" s="18" t="n">
        <x:f>COUNTIF(P1_P2_Tickets!E:E,"In IDS")</x:f>
        <x:v>2</x:v>
      </x:c>
    </x:row>
    <x:row r="6">
      <x:c r="A6" t="str">
        <x:v>Total Listed</x:v>
      </x:c>
      <x:c r="B6" s="18" t="n">
        <x:f>COUNTA(P1_P2_Tickets!A:A)-1</x:f>
        <x:v>10</x:v>
      </x:c>
    </x:row>
  </x:sheetData>
  <x:pageMargins left="0.7" right="0.7" top="0.75" bottom="0.75" header="0.3" footer="0.3"/>
  <x:tableParts count="1">
    <x:tablePart xmlns:r="http://schemas.openxmlformats.org/officeDocument/2006/relationships" r:id="Rc79700db1489460d"/>
  </x:tableParts>
</x:worksheet>
</file>